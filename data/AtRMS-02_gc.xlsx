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sabina_leantilarosa_nmbu_no/Documents/Acinetobacter towneri/growth_curve/"/>
    </mc:Choice>
  </mc:AlternateContent>
  <xr:revisionPtr revIDLastSave="20" documentId="8_{FFEDB406-DB34-422E-8ADD-491939E59ADD}" xr6:coauthVersionLast="47" xr6:coauthVersionMax="47" xr10:uidLastSave="{752925D0-834D-4094-9CCC-4AA29AC6A365}"/>
  <bookViews>
    <workbookView xWindow="-103" yWindow="-103" windowWidth="22149" windowHeight="13200" xr2:uid="{FE0202B4-8208-47BB-857B-F4579B85B41B}"/>
  </bookViews>
  <sheets>
    <sheet name="Sheet1" sheetId="5" r:id="rId1"/>
    <sheet name="Tab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2" i="1"/>
  <c r="G23" i="1"/>
  <c r="G24" i="1"/>
  <c r="G25" i="1"/>
  <c r="G26" i="1"/>
  <c r="G27" i="1"/>
  <c r="G28" i="1"/>
  <c r="G29" i="1"/>
  <c r="G30" i="1"/>
  <c r="G31" i="1"/>
  <c r="G20" i="1"/>
  <c r="F21" i="1"/>
  <c r="F22" i="1"/>
  <c r="F23" i="1"/>
  <c r="F24" i="1"/>
  <c r="F25" i="1"/>
  <c r="F26" i="1"/>
  <c r="F27" i="1"/>
  <c r="F28" i="1"/>
  <c r="F29" i="1"/>
  <c r="F30" i="1"/>
  <c r="F31" i="1"/>
  <c r="F2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  <c r="B31" i="1"/>
  <c r="B30" i="1"/>
  <c r="B29" i="1"/>
  <c r="B28" i="1"/>
  <c r="B27" i="1"/>
  <c r="B26" i="1"/>
  <c r="B25" i="1"/>
  <c r="B24" i="1"/>
  <c r="B23" i="1"/>
  <c r="B22" i="1"/>
  <c r="B21" i="1"/>
  <c r="B20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<sst xmlns="http://schemas.openxmlformats.org/spreadsheetml/2006/main" count="47" uniqueCount="15">
  <si>
    <t>Shaking</t>
  </si>
  <si>
    <t>Time [h]</t>
  </si>
  <si>
    <t>LB PADS 1 A</t>
  </si>
  <si>
    <t>LB PADS 1 B</t>
  </si>
  <si>
    <t>LB PADS 1 C</t>
  </si>
  <si>
    <t>PE</t>
  </si>
  <si>
    <t>Succinate</t>
  </si>
  <si>
    <t>average</t>
  </si>
  <si>
    <t>st.dev</t>
  </si>
  <si>
    <t>Hours</t>
  </si>
  <si>
    <t>Substrate</t>
  </si>
  <si>
    <t>Rep1</t>
  </si>
  <si>
    <t>Rep2</t>
  </si>
  <si>
    <t>Rep3</t>
  </si>
  <si>
    <t>PELW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</si>
</sst>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EE33-684C-46E8-9416-A7BF6A66D61D}">
  <dimension ref="A1:E27"/>
  <sheetViews>
    <sheetView tabSelected="1" topLeftCell="A9" workbookViewId="0">
      <selection activeCell="D32" sqref="D32"/>
    </sheetView>
  </sheetViews>
  <sheetFormatPr defaultRowHeight="14.6" x14ac:dyDescent="0.4"/>
  <sheetData>
    <row r="1" spans="1:5" x14ac:dyDescent="0.4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4">
      <c r="A2">
        <v>0</v>
      </c>
      <c r="B2" t="s">
        <v>14</v>
      </c>
      <c r="C2">
        <v>0</v>
      </c>
      <c r="D2">
        <v>0</v>
      </c>
      <c r="E2">
        <v>0</v>
      </c>
    </row>
    <row r="3" spans="1:5" x14ac:dyDescent="0.4">
      <c r="A3">
        <v>9</v>
      </c>
      <c r="B3" t="s">
        <v>14</v>
      </c>
      <c r="C3">
        <v>0.05</v>
      </c>
      <c r="D3">
        <v>0.04</v>
      </c>
      <c r="E3">
        <v>0.04</v>
      </c>
    </row>
    <row r="4" spans="1:5" x14ac:dyDescent="0.4">
      <c r="A4">
        <v>12.999999999941792</v>
      </c>
      <c r="B4" t="s">
        <v>14</v>
      </c>
      <c r="C4">
        <v>0.2</v>
      </c>
      <c r="D4">
        <v>0.2</v>
      </c>
      <c r="E4">
        <v>0.17</v>
      </c>
    </row>
    <row r="5" spans="1:5" x14ac:dyDescent="0.4">
      <c r="A5">
        <v>16.999999999883585</v>
      </c>
      <c r="B5" t="s">
        <v>14</v>
      </c>
      <c r="C5">
        <v>0.35</v>
      </c>
      <c r="D5">
        <v>0.32</v>
      </c>
      <c r="E5">
        <v>0.36</v>
      </c>
    </row>
    <row r="6" spans="1:5" x14ac:dyDescent="0.4">
      <c r="A6">
        <v>22.999999999883585</v>
      </c>
      <c r="B6" t="s">
        <v>14</v>
      </c>
      <c r="C6">
        <v>0.52</v>
      </c>
      <c r="D6">
        <v>0.52</v>
      </c>
      <c r="E6">
        <v>0.6</v>
      </c>
    </row>
    <row r="7" spans="1:5" x14ac:dyDescent="0.4">
      <c r="A7">
        <v>33</v>
      </c>
      <c r="B7" t="s">
        <v>14</v>
      </c>
      <c r="C7">
        <v>0.54</v>
      </c>
      <c r="D7">
        <v>0.61</v>
      </c>
      <c r="E7">
        <v>0.63</v>
      </c>
    </row>
    <row r="8" spans="1:5" x14ac:dyDescent="0.4">
      <c r="A8">
        <v>39.999999999941792</v>
      </c>
      <c r="B8" t="s">
        <v>14</v>
      </c>
      <c r="C8">
        <v>0.54</v>
      </c>
      <c r="D8">
        <v>0.6</v>
      </c>
      <c r="E8">
        <v>0.66</v>
      </c>
    </row>
    <row r="9" spans="1:5" x14ac:dyDescent="0.4">
      <c r="A9">
        <v>45.999999999941792</v>
      </c>
      <c r="B9" t="s">
        <v>14</v>
      </c>
      <c r="C9">
        <v>0.54</v>
      </c>
      <c r="D9">
        <v>0.56999999999999995</v>
      </c>
      <c r="E9">
        <v>0.64</v>
      </c>
    </row>
    <row r="10" spans="1:5" x14ac:dyDescent="0.4">
      <c r="A10">
        <v>57</v>
      </c>
      <c r="B10" t="s">
        <v>14</v>
      </c>
      <c r="C10">
        <v>0.56999999999999995</v>
      </c>
      <c r="D10">
        <v>0.6</v>
      </c>
      <c r="E10">
        <v>0.66</v>
      </c>
    </row>
    <row r="11" spans="1:5" x14ac:dyDescent="0.4">
      <c r="A11">
        <v>64.999999999883585</v>
      </c>
      <c r="B11" t="s">
        <v>14</v>
      </c>
      <c r="C11">
        <v>0.63</v>
      </c>
      <c r="D11">
        <v>0.66</v>
      </c>
      <c r="E11">
        <v>0.75</v>
      </c>
    </row>
    <row r="12" spans="1:5" x14ac:dyDescent="0.4">
      <c r="A12">
        <v>69.999999999941792</v>
      </c>
      <c r="B12" t="s">
        <v>14</v>
      </c>
      <c r="C12">
        <v>0.73</v>
      </c>
      <c r="D12">
        <v>0.69</v>
      </c>
      <c r="E12">
        <v>0.77</v>
      </c>
    </row>
    <row r="13" spans="1:5" x14ac:dyDescent="0.4">
      <c r="A13">
        <v>81.999999999941792</v>
      </c>
      <c r="B13" t="s">
        <v>14</v>
      </c>
      <c r="C13">
        <v>0.64</v>
      </c>
      <c r="D13">
        <v>0.66</v>
      </c>
      <c r="E13">
        <v>0.76</v>
      </c>
    </row>
    <row r="14" spans="1:5" x14ac:dyDescent="0.4">
      <c r="A14">
        <v>88.999999999883585</v>
      </c>
      <c r="B14" t="s">
        <v>14</v>
      </c>
      <c r="C14">
        <v>0.72</v>
      </c>
      <c r="D14">
        <v>0.73</v>
      </c>
      <c r="E14">
        <v>0.8</v>
      </c>
    </row>
    <row r="15" spans="1:5" x14ac:dyDescent="0.4">
      <c r="A15">
        <v>94.999999999883585</v>
      </c>
      <c r="B15" t="s">
        <v>14</v>
      </c>
      <c r="C15">
        <v>0.75</v>
      </c>
      <c r="D15">
        <v>0.72</v>
      </c>
      <c r="E15">
        <v>0.88</v>
      </c>
    </row>
    <row r="16" spans="1:5" x14ac:dyDescent="0.4">
      <c r="A16">
        <v>0</v>
      </c>
      <c r="B16" t="s">
        <v>6</v>
      </c>
      <c r="C16">
        <v>0</v>
      </c>
      <c r="D16">
        <v>0</v>
      </c>
      <c r="E16">
        <v>0</v>
      </c>
    </row>
    <row r="17" spans="1:5" x14ac:dyDescent="0.4">
      <c r="A17">
        <v>3</v>
      </c>
      <c r="B17" t="s">
        <v>6</v>
      </c>
      <c r="C17">
        <v>0.02</v>
      </c>
      <c r="D17">
        <v>0.03</v>
      </c>
      <c r="E17">
        <v>0.02</v>
      </c>
    </row>
    <row r="18" spans="1:5" x14ac:dyDescent="0.4">
      <c r="A18">
        <v>9</v>
      </c>
      <c r="B18" t="s">
        <v>6</v>
      </c>
      <c r="C18">
        <v>0.51</v>
      </c>
      <c r="D18">
        <v>0.49</v>
      </c>
      <c r="E18">
        <v>0.48</v>
      </c>
    </row>
    <row r="19" spans="1:5" x14ac:dyDescent="0.4">
      <c r="A19">
        <v>12</v>
      </c>
      <c r="B19" t="s">
        <v>6</v>
      </c>
      <c r="C19">
        <v>0.88</v>
      </c>
      <c r="D19">
        <v>0.85</v>
      </c>
      <c r="E19">
        <v>0.83</v>
      </c>
    </row>
    <row r="20" spans="1:5" x14ac:dyDescent="0.4">
      <c r="A20">
        <v>14.000000000058208</v>
      </c>
      <c r="B20" t="s">
        <v>6</v>
      </c>
      <c r="C20">
        <v>0.96</v>
      </c>
      <c r="D20">
        <v>1.01</v>
      </c>
      <c r="E20">
        <v>0.97</v>
      </c>
    </row>
    <row r="21" spans="1:5" x14ac:dyDescent="0.4">
      <c r="A21">
        <v>15.999999999941792</v>
      </c>
      <c r="B21" t="s">
        <v>6</v>
      </c>
      <c r="C21">
        <v>1.08</v>
      </c>
      <c r="D21">
        <v>1.19</v>
      </c>
      <c r="E21">
        <v>1.1599999999999999</v>
      </c>
    </row>
    <row r="22" spans="1:5" x14ac:dyDescent="0.4">
      <c r="A22">
        <v>18.999999999941792</v>
      </c>
      <c r="B22" t="s">
        <v>6</v>
      </c>
      <c r="C22">
        <v>1.42</v>
      </c>
      <c r="D22">
        <v>1.44</v>
      </c>
      <c r="E22">
        <v>1.41</v>
      </c>
    </row>
    <row r="23" spans="1:5" x14ac:dyDescent="0.4">
      <c r="A23">
        <v>21.999999999941792</v>
      </c>
      <c r="B23" t="s">
        <v>6</v>
      </c>
      <c r="C23">
        <v>1.61</v>
      </c>
      <c r="D23">
        <v>1.6</v>
      </c>
      <c r="E23">
        <v>1.61</v>
      </c>
    </row>
    <row r="24" spans="1:5" x14ac:dyDescent="0.4">
      <c r="A24">
        <v>24.999999999941792</v>
      </c>
      <c r="B24" t="s">
        <v>6</v>
      </c>
      <c r="C24">
        <v>1.73</v>
      </c>
      <c r="D24">
        <v>1.74</v>
      </c>
      <c r="E24">
        <v>1.73</v>
      </c>
    </row>
    <row r="25" spans="1:5" x14ac:dyDescent="0.4">
      <c r="A25">
        <v>36</v>
      </c>
      <c r="B25" t="s">
        <v>6</v>
      </c>
      <c r="C25">
        <v>1.79</v>
      </c>
      <c r="D25">
        <v>1.92</v>
      </c>
      <c r="E25">
        <v>1.93</v>
      </c>
    </row>
    <row r="26" spans="1:5" x14ac:dyDescent="0.4">
      <c r="A26">
        <v>47.000000000058208</v>
      </c>
      <c r="B26" t="s">
        <v>6</v>
      </c>
      <c r="C26">
        <v>1.88</v>
      </c>
      <c r="D26">
        <v>1.91</v>
      </c>
      <c r="E26">
        <v>1.91</v>
      </c>
    </row>
    <row r="27" spans="1:5" x14ac:dyDescent="0.4">
      <c r="A27">
        <v>69.999999999941792</v>
      </c>
      <c r="B27" t="s">
        <v>6</v>
      </c>
      <c r="C27">
        <v>1.82</v>
      </c>
      <c r="D27">
        <v>1.88</v>
      </c>
      <c r="E27">
        <v>1.86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F6A4-FAB2-4F68-BD73-202D30B841DB}">
  <dimension ref="A1:V74"/>
  <sheetViews>
    <sheetView workbookViewId="0">
      <selection activeCell="B20" sqref="B20:E31"/>
    </sheetView>
  </sheetViews>
  <sheetFormatPr defaultRowHeight="14.6" x14ac:dyDescent="0.4"/>
  <cols>
    <col min="1" max="1" width="15.3046875" bestFit="1" customWidth="1"/>
    <col min="3" max="4" width="10.53515625" bestFit="1" customWidth="1"/>
    <col min="5" max="5" width="10.69140625" bestFit="1" customWidth="1"/>
    <col min="6" max="6" width="11.4609375" bestFit="1" customWidth="1"/>
    <col min="7" max="7" width="12" bestFit="1" customWidth="1"/>
    <col min="8" max="8" width="12.3046875" customWidth="1"/>
    <col min="9" max="10" width="11.4609375" bestFit="1" customWidth="1"/>
    <col min="11" max="11" width="11.53515625" bestFit="1" customWidth="1"/>
    <col min="12" max="12" width="12" bestFit="1" customWidth="1"/>
    <col min="13" max="13" width="11.4609375" bestFit="1" customWidth="1"/>
    <col min="14" max="14" width="11.53515625" bestFit="1" customWidth="1"/>
    <col min="15" max="15" width="11.84375" bestFit="1" customWidth="1"/>
    <col min="17" max="17" width="12" bestFit="1" customWidth="1"/>
    <col min="18" max="19" width="11.4609375" bestFit="1" customWidth="1"/>
    <col min="20" max="20" width="11.53515625" bestFit="1" customWidth="1"/>
    <col min="22" max="22" width="12" bestFit="1" customWidth="1"/>
  </cols>
  <sheetData>
    <row r="1" spans="1:22" ht="15" thickBot="1" x14ac:dyDescent="0.45">
      <c r="A1" t="s">
        <v>5</v>
      </c>
      <c r="C1" t="s">
        <v>0</v>
      </c>
    </row>
    <row r="2" spans="1:22" x14ac:dyDescent="0.4">
      <c r="B2" t="s">
        <v>1</v>
      </c>
      <c r="C2" s="3" t="s">
        <v>2</v>
      </c>
      <c r="D2" s="4" t="s">
        <v>3</v>
      </c>
      <c r="E2" s="5" t="s">
        <v>4</v>
      </c>
      <c r="F2" t="s">
        <v>7</v>
      </c>
      <c r="G2" t="s">
        <v>8</v>
      </c>
    </row>
    <row r="3" spans="1:22" x14ac:dyDescent="0.4">
      <c r="A3" s="1">
        <v>45615.958333333336</v>
      </c>
      <c r="B3">
        <f>(A3-A3)*24</f>
        <v>0</v>
      </c>
      <c r="C3" s="6">
        <v>0</v>
      </c>
      <c r="D3" s="2">
        <v>0</v>
      </c>
      <c r="E3" s="7">
        <v>0</v>
      </c>
      <c r="F3" s="2">
        <f>AVERAGE(C3:E3)</f>
        <v>0</v>
      </c>
      <c r="G3" s="11">
        <f>_xlfn.STDEV.P(C3:E3)</f>
        <v>0</v>
      </c>
      <c r="H3" s="2"/>
      <c r="I3" s="2"/>
      <c r="J3" s="2"/>
      <c r="K3" s="2"/>
      <c r="L3" s="11"/>
      <c r="M3" s="2"/>
      <c r="N3" s="2"/>
      <c r="O3" s="2"/>
      <c r="P3" s="2"/>
      <c r="Q3" s="11"/>
      <c r="R3" s="2"/>
      <c r="S3" s="2"/>
      <c r="T3" s="2"/>
      <c r="U3" s="2"/>
      <c r="V3" s="11"/>
    </row>
    <row r="4" spans="1:22" x14ac:dyDescent="0.4">
      <c r="A4" s="1">
        <v>45616.333333333336</v>
      </c>
      <c r="B4">
        <f>(A4-A3)*24</f>
        <v>9</v>
      </c>
      <c r="C4" s="6">
        <v>0.05</v>
      </c>
      <c r="D4" s="2">
        <v>0.04</v>
      </c>
      <c r="E4" s="7">
        <v>0.04</v>
      </c>
      <c r="F4" s="2">
        <f t="shared" ref="F4:F16" si="0">AVERAGE(C4:E4)</f>
        <v>4.3333333333333335E-2</v>
      </c>
      <c r="G4" s="11">
        <f t="shared" ref="G4:G16" si="1">_xlfn.STDEV.P(C4:E4)</f>
        <v>4.7140452079103175E-3</v>
      </c>
      <c r="H4" s="2"/>
      <c r="I4" s="2"/>
      <c r="J4" s="2"/>
      <c r="K4" s="2"/>
      <c r="L4" s="11"/>
      <c r="M4" s="2"/>
      <c r="N4" s="2"/>
      <c r="O4" s="2"/>
      <c r="P4" s="2"/>
      <c r="Q4" s="11"/>
      <c r="R4" s="2"/>
      <c r="S4" s="2"/>
      <c r="T4" s="2"/>
      <c r="U4" s="2"/>
      <c r="V4" s="11"/>
    </row>
    <row r="5" spans="1:22" x14ac:dyDescent="0.4">
      <c r="A5" s="1">
        <v>45616.5</v>
      </c>
      <c r="B5">
        <f>(A5-A3)*24</f>
        <v>12.999999999941792</v>
      </c>
      <c r="C5" s="6">
        <v>0.2</v>
      </c>
      <c r="D5" s="2">
        <v>0.2</v>
      </c>
      <c r="E5" s="7">
        <v>0.17</v>
      </c>
      <c r="F5" s="2">
        <f t="shared" si="0"/>
        <v>0.19000000000000003</v>
      </c>
      <c r="G5" s="11">
        <f t="shared" si="1"/>
        <v>1.4142135623730951E-2</v>
      </c>
      <c r="H5" s="2"/>
      <c r="I5" s="2"/>
      <c r="J5" s="2"/>
      <c r="K5" s="2"/>
      <c r="L5" s="11"/>
      <c r="M5" s="2"/>
      <c r="N5" s="2"/>
      <c r="O5" s="2"/>
      <c r="P5" s="2"/>
      <c r="Q5" s="11"/>
      <c r="R5" s="2"/>
      <c r="S5" s="2"/>
      <c r="T5" s="2"/>
      <c r="U5" s="2"/>
      <c r="V5" s="11"/>
    </row>
    <row r="6" spans="1:22" x14ac:dyDescent="0.4">
      <c r="A6" s="1">
        <v>45616.666666666664</v>
      </c>
      <c r="B6">
        <f>(A6-A3)*24</f>
        <v>16.999999999883585</v>
      </c>
      <c r="C6" s="6">
        <v>0.35</v>
      </c>
      <c r="D6" s="2">
        <v>0.32</v>
      </c>
      <c r="E6" s="7">
        <v>0.36</v>
      </c>
      <c r="F6" s="2">
        <f t="shared" si="0"/>
        <v>0.34333333333333327</v>
      </c>
      <c r="G6" s="11">
        <f t="shared" si="1"/>
        <v>1.6996731711975938E-2</v>
      </c>
      <c r="H6" s="2"/>
      <c r="I6" s="2"/>
      <c r="J6" s="2"/>
      <c r="K6" s="2"/>
      <c r="L6" s="11"/>
      <c r="M6" s="2"/>
      <c r="N6" s="2"/>
      <c r="O6" s="2"/>
      <c r="P6" s="2"/>
      <c r="Q6" s="11"/>
      <c r="R6" s="2"/>
      <c r="S6" s="2"/>
      <c r="T6" s="2"/>
      <c r="U6" s="2"/>
      <c r="V6" s="11"/>
    </row>
    <row r="7" spans="1:22" x14ac:dyDescent="0.4">
      <c r="A7" s="1">
        <v>45616.916666666664</v>
      </c>
      <c r="B7">
        <f>(A7-A3)*24</f>
        <v>22.999999999883585</v>
      </c>
      <c r="C7" s="6">
        <v>0.52</v>
      </c>
      <c r="D7" s="2">
        <v>0.52</v>
      </c>
      <c r="E7" s="7">
        <v>0.6</v>
      </c>
      <c r="F7" s="2">
        <f t="shared" si="0"/>
        <v>0.54666666666666675</v>
      </c>
      <c r="G7" s="11">
        <f t="shared" si="1"/>
        <v>3.7712361663282512E-2</v>
      </c>
      <c r="H7" s="2"/>
      <c r="I7" s="2"/>
      <c r="J7" s="2"/>
      <c r="K7" s="2"/>
      <c r="L7" s="11"/>
      <c r="M7" s="2"/>
      <c r="N7" s="2"/>
      <c r="O7" s="2"/>
      <c r="P7" s="2"/>
      <c r="Q7" s="11"/>
      <c r="R7" s="2"/>
      <c r="S7" s="2"/>
      <c r="T7" s="2"/>
      <c r="U7" s="2"/>
      <c r="V7" s="11"/>
    </row>
    <row r="8" spans="1:22" x14ac:dyDescent="0.4">
      <c r="A8" s="1">
        <v>45617.333333333336</v>
      </c>
      <c r="B8">
        <f>(A8-A3)*24</f>
        <v>33</v>
      </c>
      <c r="C8" s="6">
        <v>0.54</v>
      </c>
      <c r="D8" s="2">
        <v>0.61</v>
      </c>
      <c r="E8" s="7">
        <v>0.63</v>
      </c>
      <c r="F8" s="2">
        <f t="shared" si="0"/>
        <v>0.59333333333333327</v>
      </c>
      <c r="G8" s="11">
        <f t="shared" si="1"/>
        <v>3.8586123009300734E-2</v>
      </c>
      <c r="H8" s="2"/>
      <c r="I8" s="2"/>
      <c r="J8" s="2"/>
      <c r="K8" s="2"/>
      <c r="L8" s="11"/>
      <c r="M8" s="2"/>
      <c r="N8" s="2"/>
      <c r="O8" s="2"/>
      <c r="P8" s="2"/>
      <c r="Q8" s="11"/>
      <c r="R8" s="2"/>
      <c r="S8" s="2"/>
      <c r="T8" s="2"/>
      <c r="U8" s="2"/>
      <c r="V8" s="11"/>
    </row>
    <row r="9" spans="1:22" x14ac:dyDescent="0.4">
      <c r="A9" s="1">
        <v>45617.625</v>
      </c>
      <c r="B9">
        <f>(A9-A3)*24</f>
        <v>39.999999999941792</v>
      </c>
      <c r="C9" s="6">
        <v>0.54</v>
      </c>
      <c r="D9" s="2">
        <v>0.6</v>
      </c>
      <c r="E9" s="7">
        <v>0.66</v>
      </c>
      <c r="F9" s="2">
        <f t="shared" si="0"/>
        <v>0.60000000000000009</v>
      </c>
      <c r="G9" s="11">
        <f t="shared" si="1"/>
        <v>4.8989794855663557E-2</v>
      </c>
      <c r="H9" s="2"/>
      <c r="I9" s="2"/>
      <c r="J9" s="2"/>
      <c r="K9" s="2"/>
      <c r="L9" s="11"/>
      <c r="M9" s="2"/>
      <c r="N9" s="2"/>
      <c r="O9" s="2"/>
      <c r="P9" s="2"/>
      <c r="Q9" s="11"/>
      <c r="R9" s="2"/>
      <c r="S9" s="2"/>
      <c r="T9" s="2"/>
      <c r="U9" s="2"/>
      <c r="V9" s="11"/>
    </row>
    <row r="10" spans="1:22" x14ac:dyDescent="0.4">
      <c r="A10" s="1">
        <v>45617.875</v>
      </c>
      <c r="B10">
        <f>(A10-A3)*24</f>
        <v>45.999999999941792</v>
      </c>
      <c r="C10" s="6">
        <v>0.54</v>
      </c>
      <c r="D10" s="2">
        <v>0.56999999999999995</v>
      </c>
      <c r="E10" s="7">
        <v>0.64</v>
      </c>
      <c r="F10" s="2">
        <f t="shared" si="0"/>
        <v>0.58333333333333337</v>
      </c>
      <c r="G10" s="11">
        <f t="shared" si="1"/>
        <v>4.1899350299921777E-2</v>
      </c>
      <c r="H10" s="2"/>
      <c r="I10" s="2"/>
      <c r="J10" s="2"/>
      <c r="K10" s="2"/>
      <c r="L10" s="11"/>
      <c r="M10" s="2"/>
      <c r="N10" s="2"/>
      <c r="O10" s="2"/>
      <c r="P10" s="2"/>
      <c r="Q10" s="11"/>
      <c r="R10" s="2"/>
      <c r="S10" s="2"/>
      <c r="T10" s="2"/>
      <c r="U10" s="2"/>
      <c r="V10" s="11"/>
    </row>
    <row r="11" spans="1:22" x14ac:dyDescent="0.4">
      <c r="A11" s="1">
        <v>45618.333333333336</v>
      </c>
      <c r="B11">
        <f>(A11-A3)*24</f>
        <v>57</v>
      </c>
      <c r="C11" s="6">
        <v>0.56999999999999995</v>
      </c>
      <c r="D11" s="2">
        <v>0.6</v>
      </c>
      <c r="E11" s="7">
        <v>0.66</v>
      </c>
      <c r="F11" s="2">
        <f t="shared" si="0"/>
        <v>0.61</v>
      </c>
      <c r="G11" s="11">
        <f t="shared" si="1"/>
        <v>3.7416573867739451E-2</v>
      </c>
      <c r="H11" s="2"/>
      <c r="I11" s="2"/>
      <c r="J11" s="2"/>
      <c r="K11" s="2"/>
      <c r="L11" s="11"/>
      <c r="M11" s="2"/>
      <c r="N11" s="2"/>
      <c r="O11" s="2"/>
      <c r="P11" s="2"/>
      <c r="Q11" s="11"/>
      <c r="R11" s="2"/>
      <c r="S11" s="2"/>
      <c r="T11" s="2"/>
      <c r="U11" s="2"/>
      <c r="V11" s="11"/>
    </row>
    <row r="12" spans="1:22" x14ac:dyDescent="0.4">
      <c r="A12" s="1">
        <v>45618.666666666664</v>
      </c>
      <c r="B12">
        <f>(A12-A3)*24</f>
        <v>64.999999999883585</v>
      </c>
      <c r="C12" s="6">
        <v>0.63</v>
      </c>
      <c r="D12" s="2">
        <v>0.66</v>
      </c>
      <c r="E12" s="7">
        <v>0.75</v>
      </c>
      <c r="F12" s="2">
        <f t="shared" si="0"/>
        <v>0.68</v>
      </c>
      <c r="G12" s="11">
        <f t="shared" si="1"/>
        <v>5.099019513592784E-2</v>
      </c>
      <c r="H12" s="2"/>
      <c r="I12" s="2"/>
      <c r="J12" s="2"/>
      <c r="K12" s="2"/>
      <c r="L12" s="11"/>
      <c r="M12" s="2"/>
      <c r="N12" s="2"/>
      <c r="O12" s="2"/>
      <c r="P12" s="2"/>
      <c r="Q12" s="11"/>
      <c r="R12" s="2"/>
      <c r="S12" s="2"/>
      <c r="T12" s="2"/>
      <c r="U12" s="2"/>
      <c r="V12" s="11"/>
    </row>
    <row r="13" spans="1:22" x14ac:dyDescent="0.4">
      <c r="A13" s="1">
        <v>45618.875</v>
      </c>
      <c r="B13">
        <f>(A13-A3)*24</f>
        <v>69.999999999941792</v>
      </c>
      <c r="C13" s="6">
        <v>0.73</v>
      </c>
      <c r="D13" s="2">
        <v>0.69</v>
      </c>
      <c r="E13" s="7">
        <v>0.77</v>
      </c>
      <c r="F13" s="2">
        <f t="shared" si="0"/>
        <v>0.73</v>
      </c>
      <c r="G13" s="11">
        <f t="shared" si="1"/>
        <v>3.2659863237109073E-2</v>
      </c>
      <c r="H13" s="2"/>
      <c r="I13" s="2"/>
      <c r="J13" s="2"/>
      <c r="K13" s="2"/>
      <c r="L13" s="11"/>
      <c r="M13" s="2"/>
      <c r="N13" s="2"/>
      <c r="O13" s="2"/>
      <c r="P13" s="2"/>
      <c r="Q13" s="11"/>
      <c r="R13" s="2"/>
      <c r="S13" s="2"/>
      <c r="T13" s="2"/>
      <c r="U13" s="2"/>
      <c r="V13" s="11"/>
    </row>
    <row r="14" spans="1:22" x14ac:dyDescent="0.4">
      <c r="A14" s="1">
        <v>45619.375</v>
      </c>
      <c r="B14">
        <f>(A14-A3)*24</f>
        <v>81.999999999941792</v>
      </c>
      <c r="C14" s="6">
        <v>0.64</v>
      </c>
      <c r="D14" s="2">
        <v>0.66</v>
      </c>
      <c r="E14" s="7">
        <v>0.76</v>
      </c>
      <c r="F14" s="2">
        <f t="shared" si="0"/>
        <v>0.68666666666666665</v>
      </c>
      <c r="G14" s="11">
        <f t="shared" si="1"/>
        <v>5.2493385826745398E-2</v>
      </c>
      <c r="H14" s="2"/>
      <c r="I14" s="2"/>
      <c r="J14" s="2"/>
      <c r="K14" s="2"/>
      <c r="L14" s="11"/>
      <c r="M14" s="2"/>
      <c r="N14" s="2"/>
      <c r="O14" s="2"/>
      <c r="P14" s="2"/>
      <c r="Q14" s="11"/>
      <c r="R14" s="2"/>
      <c r="S14" s="2"/>
      <c r="T14" s="2"/>
      <c r="U14" s="2"/>
      <c r="V14" s="11"/>
    </row>
    <row r="15" spans="1:22" x14ac:dyDescent="0.4">
      <c r="A15" s="1">
        <v>45619.666666666664</v>
      </c>
      <c r="B15">
        <f>(A15-A3)*24</f>
        <v>88.999999999883585</v>
      </c>
      <c r="C15" s="6">
        <v>0.72</v>
      </c>
      <c r="D15" s="2">
        <v>0.73</v>
      </c>
      <c r="E15" s="7">
        <v>0.8</v>
      </c>
      <c r="F15" s="2">
        <f t="shared" si="0"/>
        <v>0.75</v>
      </c>
      <c r="G15" s="11">
        <f t="shared" si="1"/>
        <v>3.5590260840104401E-2</v>
      </c>
      <c r="H15" s="2"/>
      <c r="I15" s="2"/>
      <c r="J15" s="2"/>
      <c r="K15" s="2"/>
      <c r="L15" s="11"/>
      <c r="M15" s="2"/>
      <c r="N15" s="2"/>
      <c r="O15" s="2"/>
      <c r="P15" s="2"/>
      <c r="Q15" s="11"/>
      <c r="R15" s="2"/>
      <c r="S15" s="2"/>
      <c r="T15" s="2"/>
      <c r="U15" s="2"/>
      <c r="V15" s="11"/>
    </row>
    <row r="16" spans="1:22" ht="15" thickBot="1" x14ac:dyDescent="0.45">
      <c r="A16" s="1">
        <v>45619.916666666664</v>
      </c>
      <c r="B16">
        <f>(A16-A3)*24</f>
        <v>94.999999999883585</v>
      </c>
      <c r="C16" s="8">
        <v>0.75</v>
      </c>
      <c r="D16" s="9">
        <v>0.72</v>
      </c>
      <c r="E16" s="10">
        <v>0.88</v>
      </c>
      <c r="F16" s="2">
        <f t="shared" si="0"/>
        <v>0.78333333333333333</v>
      </c>
      <c r="G16" s="11">
        <f t="shared" si="1"/>
        <v>6.9442222186665542E-2</v>
      </c>
      <c r="H16" s="2"/>
      <c r="I16" s="2"/>
      <c r="J16" s="2"/>
      <c r="K16" s="2"/>
      <c r="L16" s="11"/>
      <c r="M16" s="2"/>
      <c r="N16" s="2"/>
      <c r="O16" s="2"/>
      <c r="P16" s="2"/>
      <c r="Q16" s="11"/>
      <c r="R16" s="2"/>
      <c r="S16" s="2"/>
      <c r="T16" s="2"/>
      <c r="U16" s="2"/>
      <c r="V16" s="11"/>
    </row>
    <row r="18" spans="1:17" ht="15" thickBot="1" x14ac:dyDescent="0.45">
      <c r="A18" t="s">
        <v>6</v>
      </c>
      <c r="C18" t="s">
        <v>0</v>
      </c>
    </row>
    <row r="19" spans="1:17" x14ac:dyDescent="0.4">
      <c r="B19" t="s">
        <v>1</v>
      </c>
      <c r="C19" s="3" t="s">
        <v>2</v>
      </c>
      <c r="D19" s="4" t="s">
        <v>3</v>
      </c>
      <c r="E19" s="5" t="s">
        <v>4</v>
      </c>
      <c r="F19" t="s">
        <v>7</v>
      </c>
      <c r="G19" t="s">
        <v>8</v>
      </c>
    </row>
    <row r="20" spans="1:17" x14ac:dyDescent="0.4">
      <c r="A20" s="1">
        <v>45618.875</v>
      </c>
      <c r="B20">
        <f>(A20-A20)*24</f>
        <v>0</v>
      </c>
      <c r="C20" s="6">
        <v>0</v>
      </c>
      <c r="D20" s="2">
        <v>0</v>
      </c>
      <c r="E20" s="7">
        <v>0</v>
      </c>
      <c r="F20" s="2">
        <f>AVERAGE(C20:E20)</f>
        <v>0</v>
      </c>
      <c r="G20" s="11">
        <f>_xlfn.STDEV.P(C20:E20)</f>
        <v>0</v>
      </c>
      <c r="H20" s="2"/>
      <c r="I20" s="2"/>
      <c r="J20" s="2"/>
      <c r="K20" s="2"/>
      <c r="L20" s="11"/>
      <c r="M20" s="2"/>
      <c r="N20" s="2"/>
      <c r="O20" s="2"/>
      <c r="P20" s="2"/>
      <c r="Q20" s="11"/>
    </row>
    <row r="21" spans="1:17" x14ac:dyDescent="0.4">
      <c r="A21" s="1">
        <v>45619</v>
      </c>
      <c r="B21">
        <f>(A21-A20)*24</f>
        <v>3</v>
      </c>
      <c r="C21" s="6">
        <v>0.02</v>
      </c>
      <c r="D21" s="2">
        <v>0.03</v>
      </c>
      <c r="E21" s="7">
        <v>0.02</v>
      </c>
      <c r="F21" s="2">
        <f t="shared" ref="F21:F31" si="2">AVERAGE(C21:E21)</f>
        <v>2.3333333333333334E-2</v>
      </c>
      <c r="G21" s="11">
        <f t="shared" ref="G21:G31" si="3">_xlfn.STDEV.P(C21:E21)</f>
        <v>4.7140452079103157E-3</v>
      </c>
      <c r="H21" s="2"/>
      <c r="I21" s="2"/>
      <c r="J21" s="2"/>
      <c r="K21" s="2"/>
      <c r="L21" s="11"/>
      <c r="M21" s="2"/>
      <c r="N21" s="2"/>
      <c r="O21" s="2"/>
      <c r="P21" s="2"/>
      <c r="Q21" s="11"/>
    </row>
    <row r="22" spans="1:17" x14ac:dyDescent="0.4">
      <c r="A22" s="1">
        <v>45619.25</v>
      </c>
      <c r="B22">
        <f>(A22-A20)*24</f>
        <v>9</v>
      </c>
      <c r="C22" s="6">
        <v>0.51</v>
      </c>
      <c r="D22" s="2">
        <v>0.49</v>
      </c>
      <c r="E22" s="7">
        <v>0.48</v>
      </c>
      <c r="F22" s="2">
        <f t="shared" si="2"/>
        <v>0.49333333333333335</v>
      </c>
      <c r="G22" s="11">
        <f t="shared" si="3"/>
        <v>1.2472191289246483E-2</v>
      </c>
      <c r="H22" s="2"/>
      <c r="I22" s="2"/>
      <c r="J22" s="2"/>
      <c r="K22" s="2"/>
      <c r="L22" s="11"/>
      <c r="M22" s="2"/>
      <c r="N22" s="2"/>
      <c r="O22" s="2"/>
      <c r="P22" s="2"/>
      <c r="Q22" s="11"/>
    </row>
    <row r="23" spans="1:17" x14ac:dyDescent="0.4">
      <c r="A23" s="1">
        <v>45619.375</v>
      </c>
      <c r="B23">
        <f>(A23-A20)*24</f>
        <v>12</v>
      </c>
      <c r="C23" s="6">
        <v>0.88</v>
      </c>
      <c r="D23" s="2">
        <v>0.85</v>
      </c>
      <c r="E23" s="7">
        <v>0.83</v>
      </c>
      <c r="F23" s="2">
        <f t="shared" si="2"/>
        <v>0.85333333333333339</v>
      </c>
      <c r="G23" s="11">
        <f t="shared" si="3"/>
        <v>2.0548046676563275E-2</v>
      </c>
      <c r="H23" s="2"/>
      <c r="I23" s="2"/>
      <c r="J23" s="2"/>
      <c r="K23" s="2"/>
      <c r="L23" s="11"/>
      <c r="M23" s="2"/>
      <c r="N23" s="2"/>
      <c r="O23" s="2"/>
      <c r="P23" s="2"/>
      <c r="Q23" s="11"/>
    </row>
    <row r="24" spans="1:17" x14ac:dyDescent="0.4">
      <c r="A24" s="1">
        <v>45619.458333333336</v>
      </c>
      <c r="B24">
        <f>(A24-A20)*24</f>
        <v>14.000000000058208</v>
      </c>
      <c r="C24" s="6">
        <v>0.96</v>
      </c>
      <c r="D24" s="2">
        <v>1.01</v>
      </c>
      <c r="E24" s="7">
        <v>0.97</v>
      </c>
      <c r="F24" s="2">
        <f t="shared" si="2"/>
        <v>0.98</v>
      </c>
      <c r="G24" s="11">
        <f t="shared" si="3"/>
        <v>2.1602468994692887E-2</v>
      </c>
      <c r="H24" s="2"/>
      <c r="I24" s="2"/>
      <c r="J24" s="2"/>
      <c r="K24" s="2"/>
      <c r="L24" s="11"/>
      <c r="M24" s="2"/>
      <c r="N24" s="2"/>
      <c r="O24" s="2"/>
      <c r="P24" s="2"/>
      <c r="Q24" s="11"/>
    </row>
    <row r="25" spans="1:17" x14ac:dyDescent="0.4">
      <c r="A25" s="1">
        <v>45619.541666666664</v>
      </c>
      <c r="B25">
        <f>(A25-A20)*24</f>
        <v>15.999999999941792</v>
      </c>
      <c r="C25" s="6">
        <v>1.08</v>
      </c>
      <c r="D25" s="2">
        <v>1.19</v>
      </c>
      <c r="E25" s="7">
        <v>1.1599999999999999</v>
      </c>
      <c r="F25" s="2">
        <f t="shared" si="2"/>
        <v>1.1433333333333333</v>
      </c>
      <c r="G25" s="11">
        <f t="shared" si="3"/>
        <v>4.6427960923947006E-2</v>
      </c>
      <c r="H25" s="2"/>
      <c r="I25" s="2"/>
      <c r="J25" s="2"/>
      <c r="K25" s="2"/>
      <c r="L25" s="11"/>
      <c r="M25" s="2"/>
      <c r="N25" s="2"/>
      <c r="O25" s="2"/>
      <c r="P25" s="2"/>
      <c r="Q25" s="11"/>
    </row>
    <row r="26" spans="1:17" x14ac:dyDescent="0.4">
      <c r="A26" s="1">
        <v>45619.666666666664</v>
      </c>
      <c r="B26">
        <f>(A26-A20)*24</f>
        <v>18.999999999941792</v>
      </c>
      <c r="C26" s="6">
        <v>1.42</v>
      </c>
      <c r="D26" s="2">
        <v>1.44</v>
      </c>
      <c r="E26" s="7">
        <v>1.41</v>
      </c>
      <c r="F26" s="2">
        <f t="shared" si="2"/>
        <v>1.4233333333333331</v>
      </c>
      <c r="G26" s="11">
        <f t="shared" si="3"/>
        <v>1.2472191289246483E-2</v>
      </c>
      <c r="H26" s="2"/>
      <c r="I26" s="2"/>
      <c r="J26" s="2"/>
      <c r="K26" s="2"/>
      <c r="L26" s="11"/>
      <c r="M26" s="2"/>
      <c r="N26" s="2"/>
      <c r="O26" s="2"/>
      <c r="P26" s="2"/>
      <c r="Q26" s="11"/>
    </row>
    <row r="27" spans="1:17" x14ac:dyDescent="0.4">
      <c r="A27" s="1">
        <v>45619.791666666664</v>
      </c>
      <c r="B27">
        <f>(A27-A20)*24</f>
        <v>21.999999999941792</v>
      </c>
      <c r="C27" s="6">
        <v>1.61</v>
      </c>
      <c r="D27" s="2">
        <v>1.6</v>
      </c>
      <c r="E27" s="7">
        <v>1.61</v>
      </c>
      <c r="F27" s="2">
        <f t="shared" si="2"/>
        <v>1.6066666666666667</v>
      </c>
      <c r="G27" s="11">
        <f t="shared" si="3"/>
        <v>4.7140452079103209E-3</v>
      </c>
      <c r="H27" s="2"/>
      <c r="I27" s="2"/>
      <c r="J27" s="2"/>
      <c r="K27" s="2"/>
      <c r="L27" s="11"/>
      <c r="M27" s="2"/>
      <c r="N27" s="2"/>
      <c r="O27" s="2"/>
      <c r="P27" s="2"/>
      <c r="Q27" s="11"/>
    </row>
    <row r="28" spans="1:17" x14ac:dyDescent="0.4">
      <c r="A28" s="1">
        <v>45619.916666666664</v>
      </c>
      <c r="B28">
        <f>(A28-A20)*24</f>
        <v>24.999999999941792</v>
      </c>
      <c r="C28" s="6">
        <v>1.73</v>
      </c>
      <c r="D28" s="2">
        <v>1.74</v>
      </c>
      <c r="E28" s="7">
        <v>1.73</v>
      </c>
      <c r="F28" s="2">
        <f t="shared" si="2"/>
        <v>1.7333333333333332</v>
      </c>
      <c r="G28" s="11">
        <f t="shared" si="3"/>
        <v>4.7140452079103209E-3</v>
      </c>
      <c r="H28" s="2"/>
      <c r="I28" s="2"/>
      <c r="J28" s="2"/>
      <c r="K28" s="2"/>
      <c r="L28" s="11"/>
      <c r="M28" s="2"/>
      <c r="N28" s="2"/>
      <c r="O28" s="2"/>
    </row>
    <row r="29" spans="1:17" x14ac:dyDescent="0.4">
      <c r="A29" s="1">
        <v>45620.375</v>
      </c>
      <c r="B29">
        <f>(A29-A20)*24</f>
        <v>36</v>
      </c>
      <c r="C29" s="6">
        <v>1.79</v>
      </c>
      <c r="D29" s="2">
        <v>1.92</v>
      </c>
      <c r="E29" s="7">
        <v>1.93</v>
      </c>
      <c r="F29" s="2">
        <f t="shared" si="2"/>
        <v>1.88</v>
      </c>
      <c r="G29" s="11">
        <f t="shared" si="3"/>
        <v>6.3770421565696581E-2</v>
      </c>
      <c r="H29" s="2"/>
      <c r="I29" s="2"/>
      <c r="J29" s="2"/>
      <c r="K29" s="2"/>
      <c r="L29" s="11"/>
      <c r="M29" s="2"/>
    </row>
    <row r="30" spans="1:17" x14ac:dyDescent="0.4">
      <c r="A30" s="1">
        <v>45620.833333333336</v>
      </c>
      <c r="B30">
        <f>(A30-A20)*24</f>
        <v>47.000000000058208</v>
      </c>
      <c r="C30" s="6">
        <v>1.88</v>
      </c>
      <c r="D30" s="2">
        <v>1.91</v>
      </c>
      <c r="E30" s="7">
        <v>1.91</v>
      </c>
      <c r="F30" s="2">
        <f t="shared" si="2"/>
        <v>1.9000000000000001</v>
      </c>
      <c r="G30" s="11">
        <f t="shared" si="3"/>
        <v>1.4142135623730963E-2</v>
      </c>
      <c r="H30" s="2"/>
      <c r="I30" s="2"/>
      <c r="J30" s="2"/>
      <c r="K30" s="2"/>
      <c r="L30" s="11"/>
      <c r="M30" s="2"/>
    </row>
    <row r="31" spans="1:17" ht="15" thickBot="1" x14ac:dyDescent="0.45">
      <c r="A31" s="1">
        <v>45621.791666666664</v>
      </c>
      <c r="B31">
        <f>(A31-A20)*24</f>
        <v>69.999999999941792</v>
      </c>
      <c r="C31" s="8">
        <v>1.82</v>
      </c>
      <c r="D31" s="9">
        <v>1.88</v>
      </c>
      <c r="E31" s="10">
        <v>1.86</v>
      </c>
      <c r="F31" s="2">
        <f t="shared" si="2"/>
        <v>1.8533333333333335</v>
      </c>
      <c r="G31" s="11">
        <f t="shared" si="3"/>
        <v>2.4944382578492887E-2</v>
      </c>
      <c r="H31" s="2"/>
      <c r="I31" s="2"/>
      <c r="J31" s="2"/>
      <c r="K31" s="2"/>
      <c r="L31" s="11"/>
      <c r="M31" s="2"/>
    </row>
    <row r="32" spans="1:17" x14ac:dyDescent="0.4">
      <c r="A32" s="1"/>
      <c r="C32" s="2"/>
      <c r="D32" s="2"/>
      <c r="E32" s="2"/>
      <c r="F32" s="2"/>
      <c r="G32" s="11"/>
      <c r="H32" s="2"/>
      <c r="I32" s="2"/>
      <c r="J32" s="2"/>
      <c r="K32" s="2"/>
      <c r="L32" s="11"/>
      <c r="M32" s="2"/>
    </row>
    <row r="36" spans="8:22" x14ac:dyDescent="0.4">
      <c r="H36" s="2"/>
      <c r="I36" s="2"/>
      <c r="J36" s="2"/>
      <c r="K36" s="2"/>
      <c r="L36" s="11"/>
      <c r="M36" s="2"/>
      <c r="N36" s="2"/>
      <c r="O36" s="2"/>
      <c r="P36" s="2"/>
      <c r="Q36" s="11"/>
      <c r="R36" s="2"/>
      <c r="S36" s="2"/>
      <c r="T36" s="2"/>
      <c r="U36" s="2"/>
      <c r="V36" s="11"/>
    </row>
    <row r="37" spans="8:22" x14ac:dyDescent="0.4">
      <c r="H37" s="2"/>
      <c r="I37" s="2"/>
      <c r="J37" s="2"/>
      <c r="K37" s="2"/>
      <c r="L37" s="11"/>
      <c r="M37" s="2"/>
      <c r="N37" s="2"/>
      <c r="O37" s="2"/>
      <c r="P37" s="2"/>
      <c r="Q37" s="11"/>
      <c r="R37" s="2"/>
      <c r="S37" s="2"/>
      <c r="T37" s="2"/>
      <c r="U37" s="2"/>
      <c r="V37" s="11"/>
    </row>
    <row r="38" spans="8:22" x14ac:dyDescent="0.4">
      <c r="H38" s="2"/>
      <c r="I38" s="2"/>
      <c r="J38" s="2"/>
      <c r="K38" s="2"/>
      <c r="L38" s="11"/>
      <c r="M38" s="2"/>
      <c r="N38" s="2"/>
      <c r="O38" s="2"/>
      <c r="P38" s="2"/>
      <c r="Q38" s="11"/>
      <c r="R38" s="2"/>
      <c r="S38" s="2"/>
      <c r="T38" s="2"/>
      <c r="U38" s="2"/>
      <c r="V38" s="11"/>
    </row>
    <row r="39" spans="8:22" x14ac:dyDescent="0.4">
      <c r="H39" s="2"/>
      <c r="I39" s="2"/>
      <c r="J39" s="2"/>
      <c r="K39" s="2"/>
      <c r="L39" s="11"/>
      <c r="M39" s="2"/>
      <c r="N39" s="2"/>
      <c r="O39" s="2"/>
      <c r="P39" s="2"/>
      <c r="Q39" s="11"/>
      <c r="R39" s="2"/>
      <c r="S39" s="2"/>
      <c r="T39" s="2"/>
      <c r="U39" s="2"/>
      <c r="V39" s="11"/>
    </row>
    <row r="40" spans="8:22" x14ac:dyDescent="0.4">
      <c r="H40" s="2"/>
      <c r="I40" s="2"/>
      <c r="J40" s="2"/>
      <c r="K40" s="2"/>
      <c r="L40" s="11"/>
      <c r="M40" s="2"/>
      <c r="N40" s="2"/>
      <c r="O40" s="2"/>
      <c r="P40" s="2"/>
      <c r="Q40" s="11"/>
      <c r="R40" s="2"/>
      <c r="S40" s="2"/>
      <c r="T40" s="2"/>
      <c r="U40" s="2"/>
      <c r="V40" s="11"/>
    </row>
    <row r="41" spans="8:22" x14ac:dyDescent="0.4">
      <c r="H41" s="2"/>
      <c r="I41" s="2"/>
      <c r="J41" s="2"/>
      <c r="K41" s="2"/>
      <c r="L41" s="11"/>
      <c r="M41" s="2"/>
      <c r="N41" s="2"/>
      <c r="O41" s="2"/>
      <c r="P41" s="2"/>
      <c r="Q41" s="11"/>
      <c r="R41" s="2"/>
      <c r="S41" s="2"/>
      <c r="T41" s="2"/>
      <c r="U41" s="2"/>
      <c r="V41" s="11"/>
    </row>
    <row r="42" spans="8:22" x14ac:dyDescent="0.4">
      <c r="H42" s="2"/>
      <c r="I42" s="2"/>
      <c r="J42" s="2"/>
      <c r="K42" s="2"/>
      <c r="L42" s="11"/>
      <c r="M42" s="2"/>
      <c r="N42" s="2"/>
      <c r="O42" s="2"/>
      <c r="P42" s="2"/>
      <c r="Q42" s="11"/>
      <c r="R42" s="2"/>
      <c r="S42" s="2"/>
      <c r="T42" s="2"/>
      <c r="U42" s="2"/>
      <c r="V42" s="11"/>
    </row>
    <row r="43" spans="8:22" x14ac:dyDescent="0.4">
      <c r="H43" s="2"/>
      <c r="I43" s="2"/>
      <c r="J43" s="2"/>
      <c r="K43" s="2"/>
      <c r="L43" s="11"/>
      <c r="M43" s="2"/>
      <c r="N43" s="2"/>
      <c r="O43" s="2"/>
      <c r="P43" s="2"/>
      <c r="Q43" s="11"/>
      <c r="R43" s="2"/>
      <c r="S43" s="2"/>
      <c r="T43" s="2"/>
      <c r="U43" s="2"/>
      <c r="V43" s="11"/>
    </row>
    <row r="44" spans="8:22" x14ac:dyDescent="0.4">
      <c r="H44" s="2"/>
      <c r="I44" s="2"/>
      <c r="J44" s="2"/>
      <c r="K44" s="2"/>
      <c r="L44" s="11"/>
      <c r="M44" s="2"/>
      <c r="N44" s="2"/>
      <c r="O44" s="2"/>
      <c r="P44" s="2"/>
      <c r="Q44" s="11"/>
      <c r="R44" s="2"/>
      <c r="S44" s="2"/>
      <c r="T44" s="2"/>
      <c r="U44" s="2"/>
      <c r="V44" s="11"/>
    </row>
    <row r="45" spans="8:22" x14ac:dyDescent="0.4">
      <c r="H45" s="2"/>
      <c r="I45" s="2"/>
      <c r="J45" s="2"/>
      <c r="K45" s="2"/>
      <c r="L45" s="11"/>
      <c r="M45" s="2"/>
      <c r="N45" s="2"/>
      <c r="O45" s="2"/>
      <c r="P45" s="2"/>
      <c r="Q45" s="11"/>
      <c r="R45" s="2"/>
      <c r="S45" s="2"/>
      <c r="T45" s="2"/>
      <c r="U45" s="2"/>
      <c r="V45" s="11"/>
    </row>
    <row r="46" spans="8:22" x14ac:dyDescent="0.4">
      <c r="H46" s="2"/>
      <c r="I46" s="2"/>
      <c r="J46" s="2"/>
      <c r="K46" s="2"/>
      <c r="L46" s="11"/>
      <c r="M46" s="2"/>
      <c r="N46" s="2"/>
      <c r="O46" s="2"/>
      <c r="P46" s="2"/>
      <c r="Q46" s="11"/>
      <c r="R46" s="2"/>
      <c r="S46" s="2"/>
      <c r="T46" s="2"/>
      <c r="U46" s="2"/>
      <c r="V46" s="11"/>
    </row>
    <row r="47" spans="8:22" x14ac:dyDescent="0.4">
      <c r="H47" s="2"/>
      <c r="I47" s="2"/>
      <c r="J47" s="2"/>
      <c r="K47" s="2"/>
      <c r="L47" s="11"/>
      <c r="M47" s="2"/>
      <c r="N47" s="2"/>
      <c r="O47" s="2"/>
      <c r="P47" s="2"/>
      <c r="Q47" s="11"/>
      <c r="R47" s="2"/>
      <c r="S47" s="2"/>
      <c r="T47" s="2"/>
      <c r="U47" s="2"/>
      <c r="V47" s="11"/>
    </row>
    <row r="49" spans="1:12" x14ac:dyDescent="0.4">
      <c r="A49" s="1"/>
    </row>
    <row r="50" spans="1:12" x14ac:dyDescent="0.4">
      <c r="A50" s="1"/>
    </row>
    <row r="51" spans="1:12" x14ac:dyDescent="0.4">
      <c r="A51" s="1"/>
      <c r="C51" s="2"/>
      <c r="D51" s="2"/>
      <c r="E51" s="2"/>
      <c r="F51" s="2"/>
      <c r="G51" s="11"/>
      <c r="H51" s="2"/>
      <c r="I51" s="2"/>
      <c r="J51" s="2"/>
      <c r="K51" s="2"/>
      <c r="L51" s="11"/>
    </row>
    <row r="52" spans="1:12" x14ac:dyDescent="0.4">
      <c r="A52" s="1"/>
      <c r="C52" s="2"/>
      <c r="D52" s="2"/>
      <c r="E52" s="2"/>
      <c r="F52" s="2"/>
      <c r="G52" s="11"/>
      <c r="H52" s="2"/>
      <c r="I52" s="2"/>
      <c r="J52" s="2"/>
      <c r="K52" s="2"/>
      <c r="L52" s="11"/>
    </row>
    <row r="53" spans="1:12" x14ac:dyDescent="0.4">
      <c r="A53" s="1"/>
      <c r="C53" s="2"/>
      <c r="D53" s="2"/>
      <c r="E53" s="2"/>
      <c r="F53" s="2"/>
      <c r="G53" s="11"/>
      <c r="H53" s="2"/>
      <c r="I53" s="2"/>
      <c r="J53" s="2"/>
      <c r="K53" s="2"/>
      <c r="L53" s="11"/>
    </row>
    <row r="54" spans="1:12" x14ac:dyDescent="0.4">
      <c r="A54" s="1"/>
      <c r="C54" s="2"/>
      <c r="D54" s="2"/>
      <c r="E54" s="2"/>
      <c r="F54" s="2"/>
      <c r="G54" s="11"/>
      <c r="H54" s="2"/>
      <c r="I54" s="2"/>
      <c r="J54" s="2"/>
      <c r="K54" s="2"/>
      <c r="L54" s="11"/>
    </row>
    <row r="55" spans="1:12" x14ac:dyDescent="0.4">
      <c r="A55" s="1"/>
      <c r="C55" s="2"/>
      <c r="D55" s="2"/>
      <c r="E55" s="2"/>
      <c r="F55" s="2"/>
      <c r="G55" s="11"/>
      <c r="H55" s="2"/>
      <c r="I55" s="2"/>
      <c r="J55" s="2"/>
      <c r="K55" s="2"/>
      <c r="L55" s="11"/>
    </row>
    <row r="56" spans="1:12" x14ac:dyDescent="0.4">
      <c r="A56" s="1"/>
      <c r="C56" s="2"/>
      <c r="D56" s="2"/>
      <c r="E56" s="2"/>
      <c r="F56" s="2"/>
      <c r="G56" s="11"/>
      <c r="H56" s="2"/>
      <c r="I56" s="2"/>
      <c r="J56" s="2"/>
      <c r="K56" s="2"/>
      <c r="L56" s="11"/>
    </row>
    <row r="57" spans="1:12" x14ac:dyDescent="0.4">
      <c r="A57" s="1"/>
      <c r="C57" s="2"/>
      <c r="D57" s="2"/>
      <c r="E57" s="2"/>
      <c r="F57" s="2"/>
      <c r="G57" s="11"/>
      <c r="H57" s="2"/>
      <c r="I57" s="2"/>
      <c r="J57" s="2"/>
      <c r="K57" s="2"/>
      <c r="L57" s="11"/>
    </row>
    <row r="58" spans="1:12" x14ac:dyDescent="0.4">
      <c r="A58" s="1"/>
      <c r="C58" s="2"/>
      <c r="D58" s="2"/>
      <c r="E58" s="2"/>
      <c r="F58" s="2"/>
      <c r="G58" s="11"/>
      <c r="H58" s="2"/>
      <c r="I58" s="2"/>
      <c r="J58" s="2"/>
      <c r="K58" s="2"/>
      <c r="L58" s="11"/>
    </row>
    <row r="59" spans="1:12" x14ac:dyDescent="0.4">
      <c r="A59" s="1"/>
      <c r="C59" s="2"/>
      <c r="D59" s="2"/>
      <c r="E59" s="2"/>
      <c r="F59" s="2"/>
      <c r="G59" s="11"/>
      <c r="H59" s="2"/>
      <c r="I59" s="2"/>
      <c r="J59" s="2"/>
      <c r="K59" s="2"/>
      <c r="L59" s="11"/>
    </row>
    <row r="60" spans="1:12" x14ac:dyDescent="0.4">
      <c r="A60" s="1"/>
      <c r="C60" s="2"/>
      <c r="D60" s="2"/>
      <c r="E60" s="2"/>
      <c r="F60" s="2"/>
      <c r="G60" s="11"/>
      <c r="H60" s="2"/>
      <c r="I60" s="2"/>
      <c r="J60" s="2"/>
      <c r="K60" s="2"/>
      <c r="L60" s="11"/>
    </row>
    <row r="61" spans="1:12" x14ac:dyDescent="0.4">
      <c r="A61" s="1"/>
      <c r="C61" s="2"/>
      <c r="D61" s="2"/>
      <c r="E61" s="2"/>
      <c r="F61" s="2"/>
      <c r="G61" s="11"/>
      <c r="H61" s="2"/>
      <c r="I61" s="2"/>
      <c r="J61" s="2"/>
      <c r="K61" s="2"/>
      <c r="L61" s="11"/>
    </row>
    <row r="62" spans="1:12" x14ac:dyDescent="0.4">
      <c r="A62" s="1"/>
      <c r="C62" s="2"/>
      <c r="D62" s="2"/>
      <c r="E62" s="2"/>
      <c r="F62" s="2"/>
      <c r="G62" s="11"/>
      <c r="H62" s="2"/>
      <c r="I62" s="2"/>
      <c r="J62" s="2"/>
      <c r="K62" s="2"/>
      <c r="L62" s="11"/>
    </row>
    <row r="63" spans="1:12" x14ac:dyDescent="0.4">
      <c r="A63" s="1"/>
      <c r="C63" s="2"/>
      <c r="D63" s="2"/>
      <c r="E63" s="2"/>
      <c r="F63" s="2"/>
      <c r="G63" s="11"/>
      <c r="H63" s="2"/>
      <c r="I63" s="2"/>
      <c r="J63" s="2"/>
      <c r="K63" s="2"/>
      <c r="L63" s="11"/>
    </row>
    <row r="64" spans="1:12" x14ac:dyDescent="0.4">
      <c r="A64" s="1"/>
      <c r="C64" s="2"/>
      <c r="D64" s="2"/>
      <c r="E64" s="2"/>
      <c r="F64" s="2"/>
      <c r="G64" s="11"/>
      <c r="H64" s="2"/>
      <c r="I64" s="2"/>
      <c r="J64" s="2"/>
      <c r="K64" s="2"/>
      <c r="L64" s="11"/>
    </row>
    <row r="65" spans="1:12" x14ac:dyDescent="0.4">
      <c r="A65" s="1"/>
      <c r="C65" s="2"/>
      <c r="D65" s="2"/>
      <c r="E65" s="2"/>
      <c r="H65" s="2"/>
      <c r="I65" s="2"/>
      <c r="J65" s="2"/>
      <c r="K65" s="2"/>
      <c r="L65" s="11"/>
    </row>
    <row r="66" spans="1:12" x14ac:dyDescent="0.4">
      <c r="A66" s="1"/>
      <c r="C66" s="2"/>
      <c r="D66" s="2"/>
      <c r="E66" s="2"/>
      <c r="H66" s="2"/>
      <c r="I66" s="2"/>
      <c r="J66" s="2"/>
      <c r="K66" s="2"/>
      <c r="L66" s="11"/>
    </row>
    <row r="67" spans="1:12" x14ac:dyDescent="0.4">
      <c r="A67" s="1"/>
      <c r="C67" s="2"/>
      <c r="D67" s="2"/>
      <c r="E67" s="2"/>
      <c r="H67" s="2"/>
      <c r="I67" s="2"/>
      <c r="J67" s="2"/>
      <c r="K67" s="2"/>
      <c r="L67" s="11"/>
    </row>
    <row r="68" spans="1:12" x14ac:dyDescent="0.4">
      <c r="A68" s="1"/>
      <c r="C68" s="2"/>
      <c r="D68" s="2"/>
      <c r="E68" s="2"/>
      <c r="H68" s="2"/>
      <c r="I68" s="2"/>
      <c r="J68" s="2"/>
      <c r="K68" s="2"/>
      <c r="L68" s="11"/>
    </row>
    <row r="69" spans="1:12" x14ac:dyDescent="0.4">
      <c r="A69" s="1"/>
      <c r="C69" s="2"/>
      <c r="D69" s="2"/>
      <c r="E69" s="2"/>
      <c r="H69" s="2"/>
      <c r="I69" s="2"/>
      <c r="J69" s="2"/>
      <c r="K69" s="2"/>
      <c r="L69" s="11"/>
    </row>
    <row r="70" spans="1:12" x14ac:dyDescent="0.4">
      <c r="A70" s="1"/>
      <c r="C70" s="2"/>
      <c r="D70" s="2"/>
      <c r="E70" s="2"/>
      <c r="H70" s="2"/>
      <c r="I70" s="2"/>
      <c r="J70" s="2"/>
      <c r="K70" s="2"/>
      <c r="L70" s="11"/>
    </row>
    <row r="71" spans="1:12" x14ac:dyDescent="0.4">
      <c r="A71" s="1"/>
      <c r="C71" s="2"/>
      <c r="D71" s="2"/>
      <c r="E71" s="2"/>
      <c r="H71" s="2"/>
      <c r="I71" s="2"/>
      <c r="J71" s="2"/>
      <c r="K71" s="2"/>
      <c r="L71" s="11"/>
    </row>
    <row r="72" spans="1:12" x14ac:dyDescent="0.4">
      <c r="A72" s="1"/>
      <c r="I72" s="2"/>
      <c r="K72" s="2"/>
      <c r="L72" s="11"/>
    </row>
    <row r="73" spans="1:12" x14ac:dyDescent="0.4">
      <c r="A73" s="1"/>
      <c r="I73" s="2"/>
      <c r="K73" s="2"/>
      <c r="L73" s="11"/>
    </row>
    <row r="74" spans="1:12" x14ac:dyDescent="0.4">
      <c r="A74" s="1"/>
      <c r="H74" s="2"/>
      <c r="I74" s="2"/>
      <c r="J74" s="2"/>
      <c r="K74" s="2"/>
      <c r="L7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Ørjan Dahl</dc:creator>
  <cp:lastModifiedBy>Ronja Marlonsdotter Sandholm</cp:lastModifiedBy>
  <dcterms:created xsi:type="dcterms:W3CDTF">2024-12-04T07:34:57Z</dcterms:created>
  <dcterms:modified xsi:type="dcterms:W3CDTF">2025-10-13T18:21:05Z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2025-04-28T19:01:42Z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98d3a907-5acd-479f-b58f-99036a5e6e8f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